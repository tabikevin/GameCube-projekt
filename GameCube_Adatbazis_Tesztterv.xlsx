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 Struktúra" sheetId="1" state="visible" r:id="rId3"/>
    <sheet name="Tárolt Eljárások" sheetId="2" state="visible" r:id="rId4"/>
    <sheet name="Triggerek és Events" sheetId="3" state="visible" r:id="rId5"/>
    <sheet name="Adatminőség" sheetId="4" state="visible" r:id="rId6"/>
    <sheet name="Összesítő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<sst xmlns="http://schemas.openxmlformats.org/spreadsheetml/2006/main" count="468" uniqueCount="262">
  <si>
    <t xml:space="preserve">Teszt ID</t>
  </si>
  <si>
    <t xml:space="preserve">Modul / Tábla</t>
  </si>
  <si>
    <t xml:space="preserve">Teszt célja</t>
  </si>
  <si>
    <t xml:space="preserve">Teszt lépések</t>
  </si>
  <si>
    <t xml:space="preserve">Elvárt eredmény</t>
  </si>
  <si>
    <t xml:space="preserve">Tényleges eredmény</t>
  </si>
  <si>
    <t xml:space="preserve">Státusz</t>
  </si>
  <si>
    <t xml:space="preserve">Súlyosság</t>
  </si>
  <si>
    <t xml:space="preserve">Prioritás</t>
  </si>
  <si>
    <t xml:space="preserve">Kapcsolódó ID-k</t>
  </si>
  <si>
    <t xml:space="preserve">Dátum</t>
  </si>
  <si>
    <t xml:space="preserve">Tesztelő</t>
  </si>
  <si>
    <t xml:space="preserve">DB-01</t>
  </si>
  <si>
    <t xml:space="preserve">database.sql</t>
  </si>
  <si>
    <t xml:space="preserve">Mind a 10 tábla létezik az importálás után</t>
  </si>
  <si>
    <t xml:space="preserve">1. Adatbázis importálása
2. SHOW TABLES futtatása</t>
  </si>
  <si>
    <t xml:space="preserve">Eredmény: users, products, game_keys, orders, order_items, audit_log, cart, favorites, coupons, contact_messages</t>
  </si>
  <si>
    <t xml:space="preserve">Mind a 10 tábla megjelent</t>
  </si>
  <si>
    <t xml:space="preserve">PASS</t>
  </si>
  <si>
    <t xml:space="preserve">HIGH</t>
  </si>
  <si>
    <t xml:space="preserve">—</t>
  </si>
  <si>
    <t xml:space="preserve">2026.02.20</t>
  </si>
  <si>
    <t xml:space="preserve">Tabi Kevin</t>
  </si>
  <si>
    <t xml:space="preserve">DB-02</t>
  </si>
  <si>
    <t xml:space="preserve">users</t>
  </si>
  <si>
    <t xml:space="preserve">users tábla mezői és indexei helyesek</t>
  </si>
  <si>
    <t xml:space="preserve">1. DESCRIBE users
2. SHOW INDEX FROM users</t>
  </si>
  <si>
    <t xml:space="preserve">Mezők: id (AI PK), username, email, password_hash, full_name, phone, role ENUM(user/seller/both/admin), is_active, failed_login_attempts, locked_until, created_at, updated_at, last_login_at
Indexek: PRIMARY(id), UNIQUE(username), UNIQUE(email)</t>
  </si>
  <si>
    <t xml:space="preserve">Minden mező és index jelen van</t>
  </si>
  <si>
    <t xml:space="preserve">DB-03</t>
  </si>
  <si>
    <t xml:space="preserve">products</t>
  </si>
  <si>
    <t xml:space="preserve">products tábla mezői és indexei helyesek</t>
  </si>
  <si>
    <t xml:space="preserve">1. DESCRIBE products
2. SHOW INDEX FROM products</t>
  </si>
  <si>
    <t xml:space="preserve">Mezők: id, name, short_description, long_description, platform ENUM(pc/ps/xbox/switch), category VARCHAR(50), tag ENUM(top/new/sale/normal), price INT, original_price INT, discount_percent INT, image_url, is_active, view_count, created_at, updated_at
Index: PRIMARY(id), idx_platform, idx_category, idx_tag</t>
  </si>
  <si>
    <t xml:space="preserve">DB-04</t>
  </si>
  <si>
    <t xml:space="preserve">game_keys</t>
  </si>
  <si>
    <t xml:space="preserve">game_keys FK kapcsolatok és UNIQUE constraint helyesek</t>
  </si>
  <si>
    <t xml:space="preserve">1. DESCRIBE game_keys
2. SHOW CREATE TABLE game_keys</t>
  </si>
  <si>
    <t xml:space="preserve">FK: product_id → products(id) ON DELETE CASCADE
FK: sold_to_user_id → users(id) ON DELETE SET NULL
UNIQUE: key_code
Mezők: id, product_id, key_code, is_sold, sold_to_user_id, sold_at, order_id, created_at</t>
  </si>
  <si>
    <t xml:space="preserve">FK-k és UNIQUE constraint aktív</t>
  </si>
  <si>
    <t xml:space="preserve">DB-05</t>
  </si>
  <si>
    <t xml:space="preserve">orders</t>
  </si>
  <si>
    <t xml:space="preserve">orders tábla payment_method és status ENUM értékek helyesek</t>
  </si>
  <si>
    <t xml:space="preserve">1. SHOW COLUMNS FROM orders WHERE Field='payment_method'
2. SHOW COLUMNS FROM orders WHERE Field='status'</t>
  </si>
  <si>
    <t xml:space="preserve">payment_method ENUM: online_card, bank_transfer, paypal, cash
status ENUM: pending, paid, cancelled, refunded
order_number VARCHAR(20) UNIQUE</t>
  </si>
  <si>
    <t xml:space="preserve">ENUM értékek és UNIQUE constraint megfelelő</t>
  </si>
  <si>
    <t xml:space="preserve">DB-06</t>
  </si>
  <si>
    <t xml:space="preserve">coupons</t>
  </si>
  <si>
    <t xml:space="preserve">coupons tábla discount_type ENUM és UNIQUE code constraint</t>
  </si>
  <si>
    <t xml:space="preserve">1. DESCRIBE coupons
2. SHOW INDEX FROM coupons</t>
  </si>
  <si>
    <t xml:space="preserve">discount_type ENUM(percent, fixed)
code UNIQUE INDEX
Mezők: id, code, discount_type, discount_value, min_order_value, max_uses, used_count, valid_from, valid_until, is_active, created_at</t>
  </si>
  <si>
    <t xml:space="preserve">UNIQUE(code) aktív, ENUM értékek helyesek</t>
  </si>
  <si>
    <t xml:space="preserve">MEDIUM</t>
  </si>
  <si>
    <t xml:space="preserve">DB-07</t>
  </si>
  <si>
    <t xml:space="preserve">audit_log</t>
  </si>
  <si>
    <t xml:space="preserve">audit_log tábla action ENUM és JSON mezők helyesek</t>
  </si>
  <si>
    <t xml:space="preserve">1. DESCRIBE audit_log
2. Ellenőrizni: old_values JSON, new_values JSON</t>
  </si>
  <si>
    <t xml:space="preserve">action ENUM(INSERT, UPDATE, DELETE)
old_values és new_values JSON típusú
is_read TINYINT DEFAULT 0</t>
  </si>
  <si>
    <t xml:space="preserve">Minden mező típusa megfelelő</t>
  </si>
  <si>
    <t xml:space="preserve">DB-08</t>
  </si>
  <si>
    <t xml:space="preserve">v_active_products</t>
  </si>
  <si>
    <t xml:space="preserve">v_active_products view csak aktív termékeket ad vissza, available_keys számolás helyes</t>
  </si>
  <si>
    <t xml:space="preserve">1. SELECT * FROM v_active_products WHERE is_active=0 — üres kell legyen
2. SELECT id, available_keys, in_stock FROM v_active_products LIMIT 5</t>
  </si>
  <si>
    <t xml:space="preserve">is_active=0 szűrő nélküli sorok nem jelennek meg
available_keys = COUNT(is_sold=0)
in_stock = 1 ha available_keys &gt; 0</t>
  </si>
  <si>
    <t xml:space="preserve">View csak aktív termékeket mutat, kulcsszám helyes</t>
  </si>
  <si>
    <t xml:space="preserve">DB-03,DB-04</t>
  </si>
  <si>
    <t xml:space="preserve">DB-09</t>
  </si>
  <si>
    <t xml:space="preserve">v_admin_stats</t>
  </si>
  <si>
    <t xml:space="preserve">v_admin_stats view számok matematikailag helyesek</t>
  </si>
  <si>
    <t xml:space="preserve">1. SELECT * FROM v_admin_stats
2. Manuálisan ellenőrizni: total_revenue = SUM(total_price WHERE status='paid')
3. today_revenue = mai nap paid rendelések összege</t>
  </si>
  <si>
    <t xml:space="preserve">total_revenue egyezik manuális SUM-mal
today_revenue = aznapi paid rendelések összege
total_users csak 'user' role-ú felhasználókat számol</t>
  </si>
  <si>
    <t xml:space="preserve">Minden számított érték egyezik a manuális lekérdezéssel</t>
  </si>
  <si>
    <t xml:space="preserve">DB-10</t>
  </si>
  <si>
    <t xml:space="preserve">v_daily_revenue</t>
  </si>
  <si>
    <t xml:space="preserve">v_daily_revenue view csak paid rendeléseket aggregál, ORDER BY date DESC</t>
  </si>
  <si>
    <t xml:space="preserve">1. SELECT * FROM v_daily_revenue LIMIT 10
2. Ellenőrizni: cancelled/pending rendelések nem szerepelnek</t>
  </si>
  <si>
    <t xml:space="preserve">Csak status='paid' rendelések jelennek meg
Orderezés: date DESC (legfrissebb elöl)
revenue numerikus, order_count &gt;= 1</t>
  </si>
  <si>
    <t xml:space="preserve">View korrekt adatokat mutat</t>
  </si>
  <si>
    <t xml:space="preserve">Eljárás neve</t>
  </si>
  <si>
    <t xml:space="preserve">Hívás / Input</t>
  </si>
  <si>
    <t xml:space="preserve">Elvárt kimenet</t>
  </si>
  <si>
    <t xml:space="preserve">Tényleges kimenet</t>
  </si>
  <si>
    <t xml:space="preserve">SP-01</t>
  </si>
  <si>
    <t xml:space="preserve">sp_users_create</t>
  </si>
  <si>
    <t xml:space="preserve">Sikeres felhasználó létrehozás seller role-lal</t>
  </si>
  <si>
    <t xml:space="preserve">CALL sp_users_create('kovacs_peter','peter@gmail.com','$2y$10$hash...','Kovács Péter','+36301234567','seller',@id,@ok,@msg)
SELECT @id, @ok, @msg</t>
  </si>
  <si>
    <t xml:space="preserve">@ok = TRUE
@msg = 'Felhasználó sikeresen létrehozva'
@id &gt; 0
users táblában megjelenik a sor</t>
  </si>
  <si>
    <t xml:space="preserve">@ok=TRUE, @id=4, rekord létrejött</t>
  </si>
  <si>
    <t xml:space="preserve">SP-02</t>
  </si>
  <si>
    <t xml:space="preserve">Duplikált username esetén hiba visszaadása</t>
  </si>
  <si>
    <t xml:space="preserve">CALL sp_users_create('admin','masik@gmail.com','hash','Másik Admin',NULL,'user',@id,@ok,@msg)
SELECT @ok, @msg</t>
  </si>
  <si>
    <t xml:space="preserve">@ok = FALSE
@msg = 'A felhasználónév már foglalt'
@id = 0</t>
  </si>
  <si>
    <t xml:space="preserve">@ok=FALSE, @msg helyes hibaüzenet</t>
  </si>
  <si>
    <t xml:space="preserve">SP-03</t>
  </si>
  <si>
    <t xml:space="preserve">sp_add_game_key</t>
  </si>
  <si>
    <t xml:space="preserve">Játékkulcs hozzáadása létező termékhez</t>
  </si>
  <si>
    <t xml:space="preserve">CALL sp_add_game_key(1,'ABCD-EFGH-IJKL-MNOP',@key_id,@ok,@msg)
SELECT @key_id, @ok, @msg</t>
  </si>
  <si>
    <t xml:space="preserve">@ok = TRUE
@key_id &gt; 0
game_keys táblában megjelenik: product_id=1, key_code='ABCD-EFGH-IJKL-MNOP', is_sold=0</t>
  </si>
  <si>
    <t xml:space="preserve">@ok=TRUE, kulcs mentve</t>
  </si>
  <si>
    <t xml:space="preserve">SP-04</t>
  </si>
  <si>
    <t xml:space="preserve">Duplikált key_code esetén hiba</t>
  </si>
  <si>
    <t xml:space="preserve">CALL sp_add_game_key(1,'ABCD-EFGH-IJKL-MNOP',@key_id,@ok,@msg)
(ugyanaz a kulcs mint SP-03-ban)
SELECT @ok, @msg</t>
  </si>
  <si>
    <t xml:space="preserve">@ok = FALSE
@msg tartalmazza: 'már létezik' vagy hasonló
@key_id = 0</t>
  </si>
  <si>
    <t xml:space="preserve">@ok=FALSE, duplikátum kezelve</t>
  </si>
  <si>
    <t xml:space="preserve">SP-05</t>
  </si>
  <si>
    <t xml:space="preserve">sp_check_stock</t>
  </si>
  <si>
    <t xml:space="preserve">Készlet lekérdezés pontossága</t>
  </si>
  <si>
    <t xml:space="preserve">CALL sp_check_stock(1,@available,@total,@sold)
SELECT @available, @total, @sold</t>
  </si>
  <si>
    <t xml:space="preserve">@total = @available + @sold
@available = COUNT(is_sold=0) WHERE product_id=1
@sold = COUNT(is_sold=1) WHERE product_id=1</t>
  </si>
  <si>
    <t xml:space="preserve">Számok egyeznek manuális COUNT-tal</t>
  </si>
  <si>
    <t xml:space="preserve">SP-06</t>
  </si>
  <si>
    <t xml:space="preserve">sp_create_full_order</t>
  </si>
  <si>
    <t xml:space="preserve">Teljes rendelési folyamat: kosárból rendelés létrehozása</t>
  </si>
  <si>
    <t xml:space="preserve">1. Termék kosárba: sp_add_to_cart(2,NULL,1,1,@ok,@msg)
2. CALL sp_create_full_order(2,'online_card','Kiss Anna','Fő utca 1','Budapest','1011','Magyarország',NULL,NULL,@order_id,@order_num,@total,@ok,@msg)</t>
  </si>
  <si>
    <t xml:space="preserve">@ok = TRUE
@order_id &gt; 0
@order_num formátum: ORD-YYYYMMDD-XXXX
@total &gt; 0
orders táblában status='pending'
order_items tartalmaz 1 sort</t>
  </si>
  <si>
    <t xml:space="preserve">@ok=TRUE, rendelés létrejött, order_items mentve</t>
  </si>
  <si>
    <t xml:space="preserve">CRITICAL</t>
  </si>
  <si>
    <t xml:space="preserve">SP-07</t>
  </si>
  <si>
    <t xml:space="preserve">sp_approve_order</t>
  </si>
  <si>
    <t xml:space="preserve">Rendelés jóváhagyása: státusz paid-re vált, kulcs kiosztódik</t>
  </si>
  <si>
    <t xml:space="preserve">CALL sp_approve_order(@order_id_SP06, @ok, @msg)
SELECT status, paid_at FROM orders WHERE id=@order_id_SP06</t>
  </si>
  <si>
    <t xml:space="preserve">status = 'paid'
paid_at NOT NULL
game_keys-ben is_sold=1 és sold_to_user_id kitöltve a rendeléshez tartozó kulcsnál</t>
  </si>
  <si>
    <t xml:space="preserve">Státusz frissítve, kulcs kiosztva</t>
  </si>
  <si>
    <t xml:space="preserve">SP-08</t>
  </si>
  <si>
    <t xml:space="preserve">sp_cancel_order</t>
  </si>
  <si>
    <t xml:space="preserve">Rendelés lemondása: kulcsok visszakerülnek készletbe</t>
  </si>
  <si>
    <t xml:space="preserve">CALL sp_cancel_order(@order_id_SP06, TRUE, @ok, @msg)
SELECT is_sold FROM game_keys WHERE order_id=@order_id_SP06</t>
  </si>
  <si>
    <t xml:space="preserve">@ok = TRUE
orders.status = 'cancelled'
game_keys.is_sold = 0 (kulcs újra elérhető)
game_keys.sold_to_user_id = NULL</t>
  </si>
  <si>
    <t xml:space="preserve">Lemondás sikeres, kulcs visszaállítva</t>
  </si>
  <si>
    <t xml:space="preserve">SP-09</t>
  </si>
  <si>
    <t xml:space="preserve">sp_coupons_get_by_code</t>
  </si>
  <si>
    <t xml:space="preserve">Érvényes kupon lekérése kód alapján</t>
  </si>
  <si>
    <t xml:space="preserve">CALL sp_coupons_get_by_code('WELCOME10')</t>
  </si>
  <si>
    <t xml:space="preserve">1 sor visszaadva
code='WELCOME10', discount_type='percent', discount_value=10
is_active=1, valid_until &gt; NOW()</t>
  </si>
  <si>
    <t xml:space="preserve">Kupon adatai helyesek</t>
  </si>
  <si>
    <t xml:space="preserve">SP-10</t>
  </si>
  <si>
    <t xml:space="preserve">sp_bulk_add_keys</t>
  </si>
  <si>
    <t xml:space="preserve">Tömeges kulcsfeltöltés JSON-ból, duplikátum kihagyással</t>
  </si>
  <si>
    <t xml:space="preserve">CALL sp_bulk_add_keys(2, '[{"key":"KEY1-TEST-AAAA-BBBB"},{"key":"KEY2-TEST-CCCC-DDDD"},{"key":"KEY1-TEST-AAAA-BBBB"}]', @added, @skipped, @ok, @msg)</t>
  </si>
  <si>
    <t xml:space="preserve">@added = 2
@skipped = 1 (duplikátum)
@ok = TRUE
game_keys-ben 2 új sor product_id=2-vel</t>
  </si>
  <si>
    <t xml:space="preserve">@added=2, @skipped=1, duplikátum kihagyva</t>
  </si>
  <si>
    <t xml:space="preserve">SP-11</t>
  </si>
  <si>
    <t xml:space="preserve">sp_change_password</t>
  </si>
  <si>
    <t xml:space="preserve">Jelszó módosítás: hash frissítése az adatbázisban</t>
  </si>
  <si>
    <t xml:space="preserve">CALL sp_change_password(3,'$2y$10$ujhash...', @ok, @msg)
SELECT password_hash FROM users WHERE id=3</t>
  </si>
  <si>
    <t xml:space="preserve">@ok = TRUE
password_hash mező frissítve az új hash-re
A régi hash nem szerepel</t>
  </si>
  <si>
    <t xml:space="preserve">Hash frissítve</t>
  </si>
  <si>
    <t xml:space="preserve">SP-12</t>
  </si>
  <si>
    <t xml:space="preserve">sp_audit_log_get_stats</t>
  </si>
  <si>
    <t xml:space="preserve">Audit napló statisztika lekérdezés dátumtartományra</t>
  </si>
  <si>
    <t xml:space="preserve">CALL sp_audit_log_get_stats('2026-01-01','2026-12-31')
</t>
  </si>
  <si>
    <t xml:space="preserve">INSERT/UPDATE/DELETE számok összege = teljes rekordszám a tartományban
Eredmény halmazban szerepelnek: action, count</t>
  </si>
  <si>
    <t xml:space="preserve">Statisztika egyezik manuális COUNT-tal</t>
  </si>
  <si>
    <t xml:space="preserve">LOW</t>
  </si>
  <si>
    <t xml:space="preserve">Objektum neve</t>
  </si>
  <si>
    <t xml:space="preserve">Típus</t>
  </si>
  <si>
    <t xml:space="preserve">TR-01</t>
  </si>
  <si>
    <t xml:space="preserve">tr_users_audit_update</t>
  </si>
  <si>
    <t xml:space="preserve">TRIGGER</t>
  </si>
  <si>
    <t xml:space="preserve">Users módosításkor audit_log bejegyzés keletkezik</t>
  </si>
  <si>
    <t xml:space="preserve">1. UPDATE users SET full_name='Teszt Elek' WHERE id=3
2. SELECT * FROM audit_log WHERE table_name='users' AND record_id=3 ORDER BY id DESC LIMIT 1</t>
  </si>
  <si>
    <t xml:space="preserve">audit_log-ban 1 új sor: action='UPDATE'
old_values JSON tartalmazza a régi full_name értéket
new_values JSON tartalmazza 'full_name':'Teszt Elek'</t>
  </si>
  <si>
    <t xml:space="preserve">Audit bejegyzés létrejött, JSON mezők helyesek</t>
  </si>
  <si>
    <t xml:space="preserve">TR-02</t>
  </si>
  <si>
    <t xml:space="preserve">tr_orders_audit_update</t>
  </si>
  <si>
    <t xml:space="preserve">Orders státuszváltáskor audit bejegyzés keletkezik</t>
  </si>
  <si>
    <t xml:space="preserve">1. UPDATE orders SET status='paid', paid_at=NOW() WHERE id=1
2. SELECT * FROM audit_log WHERE table_name='orders' AND record_id=1 ORDER BY id DESC LIMIT 1</t>
  </si>
  <si>
    <t xml:space="preserve">audit_log-ban 1 új sor
old_values.status = 'pending'
new_values.status = 'paid'</t>
  </si>
  <si>
    <t xml:space="preserve">Audit bejegyzés korrekt</t>
  </si>
  <si>
    <t xml:space="preserve">TR-03</t>
  </si>
  <si>
    <t xml:space="preserve">tr_before_order_insert</t>
  </si>
  <si>
    <t xml:space="preserve">Rendelés insertnél order_number automatikusan generálódik</t>
  </si>
  <si>
    <t xml:space="preserve">1. INSERT INTO orders (user_id, total_price, status, payment_method, billing_name, billing_address, billing_city, billing_zip, billing_country) VALUES (1, 8990, 'pending', 'online_card', 'Teszt Elek', 'Kossuth u. 1', 'Debrecen', '4025', 'Magyarország')
2. SELECT order_number FROM orders ORDER BY id DESC LIMIT 1</t>
  </si>
  <si>
    <t xml:space="preserve">order_number NOT NULL
Formátum: ORD-YYYYMMDD-XXXX (pl. ORD-20260220-0001)
order_number UNIQUE constraint nem sérül</t>
  </si>
  <si>
    <t xml:space="preserve">Order number generálódott, formátum helyes</t>
  </si>
  <si>
    <t xml:space="preserve">EV-01</t>
  </si>
  <si>
    <t xml:space="preserve">ev_unlock_users</t>
  </si>
  <si>
    <t xml:space="preserve">EVENT</t>
  </si>
  <si>
    <t xml:space="preserve">Zárolás feloldása 5 percenként: lejárt locked_until-ú felhasználók feloldódnak</t>
  </si>
  <si>
    <t xml:space="preserve">1. UPDATE users SET locked_until=DATE_SUB(NOW(), INTERVAL 10 MINUTE), failed_login_attempts=5 WHERE id=3
2. Várni 5 percet (vagy SET GLOBAL event_scheduler=ON; és manuális szimuláció)
3. SELECT locked_until, failed_login_attempts FROM users WHERE id=3</t>
  </si>
  <si>
    <t xml:space="preserve">locked_until = NULL
failed_login_attempts = 0
felhasználó újra be tud jelentkezni</t>
  </si>
  <si>
    <t xml:space="preserve">Event lefutott, zárolás feloldva</t>
  </si>
  <si>
    <t xml:space="preserve">EV-02</t>
  </si>
  <si>
    <t xml:space="preserve">ev_clean_old_carts</t>
  </si>
  <si>
    <t xml:space="preserve">Régi kosár tételek napi törlése: 30 napnál régebbi sorok eltűnnek</t>
  </si>
  <si>
    <t xml:space="preserve">1. INSERT INTO cart (user_id, product_id, quantity, created_at) VALUES (1, 1, 1, DATE_SUB(NOW(), INTERVAL 35 DAY))
2. Event manuális triggerelése: CALL ev_clean_old_carts() vagy várni 1 napot
3. SELECT * FROM cart WHERE created_at &lt; DATE_SUB(NOW(), INTERVAL 30 DAY)</t>
  </si>
  <si>
    <t xml:space="preserve">A 35 napja felvett kosár sor törlődött
Újabb tételek érintetlenek maradnak</t>
  </si>
  <si>
    <t xml:space="preserve">Régi tételek törölve, frissek megmaradtak</t>
  </si>
  <si>
    <t xml:space="preserve">Terület</t>
  </si>
  <si>
    <t xml:space="preserve">SQL lekérdezés</t>
  </si>
  <si>
    <t xml:space="preserve">DQ-01</t>
  </si>
  <si>
    <t xml:space="preserve">products – kategóriák</t>
  </si>
  <si>
    <t xml:space="preserve">RPG kategóriában csak RPG játékok vannak (Cyberpunk, Elden Ring, Witcher, Hogwarts, Diablo)</t>
  </si>
  <si>
    <t xml:space="preserve">SELECT name, category FROM products WHERE category='rpg' AND is_active=1</t>
  </si>
  <si>
    <t xml:space="preserve">Csak ezek a nevek: Cyberpunk 2077*, Elden Ring*, The Witcher 3*, Hogwarts Legacy*
Semmi más kategória nem szivárog be</t>
  </si>
  <si>
    <t xml:space="preserve">RPG lista helyes, nincs idegen játék</t>
  </si>
  <si>
    <t xml:space="preserve">DQ-02</t>
  </si>
  <si>
    <t xml:space="preserve">FPS kategóriában NEM szerepelnek egyéb jellegű termékek (pl. Valorant Points)</t>
  </si>
  <si>
    <t xml:space="preserve">SELECT name, category FROM products WHERE category='fps' AND is_active=1</t>
  </si>
  <si>
    <t xml:space="preserve">Csak valódi FPS játékok: Halo Infinite, CoD MW2
Valorant Points NEM szerepel itt (category='other')</t>
  </si>
  <si>
    <t xml:space="preserve">Valorant Points az 'other' kategóriában van</t>
  </si>
  <si>
    <t xml:space="preserve">DQ-03</t>
  </si>
  <si>
    <t xml:space="preserve">products – platform</t>
  </si>
  <si>
    <t xml:space="preserve">Minecraft csak Java &amp; Bedrock (PC) aktív, más platformon inaktív</t>
  </si>
  <si>
    <t xml:space="preserve">SELECT name, platform, is_active FROM products WHERE name LIKE '%Minecraft%'</t>
  </si>
  <si>
    <t xml:space="preserve">is_active=1: Minecraft Java &amp; Bedrock (pc)
is_active=0: Minecraft PC, Minecraft PS, Minecraft Xbox, Minecraft Switch</t>
  </si>
  <si>
    <t xml:space="preserve">Csak Java &amp; Bedrock aktív</t>
  </si>
  <si>
    <t xml:space="preserve">DQ-04</t>
  </si>
  <si>
    <t xml:space="preserve">products – akció, sport</t>
  </si>
  <si>
    <t xml:space="preserve">Akció kategória tartalmazza: GTA V, RDR2, God of War, AC Valhalla</t>
  </si>
  <si>
    <t xml:space="preserve">SELECT name FROM products WHERE category='action' AND is_active=1 ORDER BY name</t>
  </si>
  <si>
    <t xml:space="preserve">Megtalálható: GTA V Premium Edition*, Red Dead Redemption 2*, God of War Ragnarök*, Assassin's Creed Valhalla*
Nem akció: FC 25, FIFA 25 nem szerepel itt</t>
  </si>
  <si>
    <t xml:space="preserve">Akció lista helyes</t>
  </si>
  <si>
    <t xml:space="preserve">DQ-05</t>
  </si>
  <si>
    <t xml:space="preserve">products – sport</t>
  </si>
  <si>
    <t xml:space="preserve">Sport kategória: FC 25 és FIFA 25 tételek, verseny kategóriában Forza és F1</t>
  </si>
  <si>
    <t xml:space="preserve">SELECT name, category FROM products WHERE category IN ('sport','racing') AND is_active=1</t>
  </si>
  <si>
    <t xml:space="preserve">sport: EA Sports FC 25*, FIFA 25*
racing: Forza Horizon 6*, F1 24*</t>
  </si>
  <si>
    <t xml:space="preserve">Sport és verseny kategória tartalmuk helyes</t>
  </si>
  <si>
    <t xml:space="preserve">DQ-06</t>
  </si>
  <si>
    <t xml:space="preserve">products – árak</t>
  </si>
  <si>
    <t xml:space="preserve">Egy terméknek sem 0 vagy negatív az ára</t>
  </si>
  <si>
    <t xml:space="preserve">SELECT id, name, price FROM products WHERE price &lt;= 0 AND is_active=1</t>
  </si>
  <si>
    <t xml:space="preserve">Üres eredményhalmaz — nincs 0 vagy negatív árú aktív termék</t>
  </si>
  <si>
    <t xml:space="preserve">Minden aktív terméknek pozitív ára van</t>
  </si>
  <si>
    <t xml:space="preserve">DQ-07</t>
  </si>
  <si>
    <t xml:space="preserve">products – képek</t>
  </si>
  <si>
    <t xml:space="preserve">Minden aktív terméknek van image_url értéke (nem NULL, nem üres)</t>
  </si>
  <si>
    <t xml:space="preserve">SELECT id, name, image_url FROM products WHERE is_active=1 AND (image_url IS NULL OR image_url='')</t>
  </si>
  <si>
    <t xml:space="preserve">Üres eredményhalmaz</t>
  </si>
  <si>
    <t xml:space="preserve">Minden aktív terméknek van képe</t>
  </si>
  <si>
    <t xml:space="preserve">DQ-08</t>
  </si>
  <si>
    <t xml:space="preserve">game_keys – egyediség</t>
  </si>
  <si>
    <t xml:space="preserve">Duplikált key_code nem lehetséges a UNIQUE constraint miatt</t>
  </si>
  <si>
    <t xml:space="preserve">INSERT INTO game_keys (product_id, key_code, is_sold) VALUES (1,'CYBER-2077-XXXX-YYYY-ZZZZ',0)
(már létező kulcs)</t>
  </si>
  <si>
    <t xml:space="preserve">Duplicate entry hiba keletkezik (MySQL 1062)
A sor NEM kerül be az adatbázisba</t>
  </si>
  <si>
    <t xml:space="preserve">1062 Duplicate entry hiba visszaadva</t>
  </si>
  <si>
    <t xml:space="preserve">DQ-09</t>
  </si>
  <si>
    <t xml:space="preserve">migration_seller.sql</t>
  </si>
  <si>
    <t xml:space="preserve">seller_id és seller_price oszlop hozzáadható a game_keys táblához migrációval</t>
  </si>
  <si>
    <t xml:space="preserve">1. ALTER TABLE game_keys ADD COLUMN seller_id INT DEFAULT NULL AFTER order_id
2. ALTER TABLE game_keys ADD COLUMN seller_price INT DEFAULT NULL AFTER seller_id
3. DESCRIBE game_keys</t>
  </si>
  <si>
    <t xml:space="preserve">seller_id és seller_price oszlop megjelenik
Meglévő sorok NULL értéket kapnak
Korábbi adatok nem sérülnek</t>
  </si>
  <si>
    <t xml:space="preserve">Migráció hiba nélkül lefutott</t>
  </si>
  <si>
    <t xml:space="preserve">DQ-10</t>
  </si>
  <si>
    <t xml:space="preserve">users – role ENUM</t>
  </si>
  <si>
    <t xml:space="preserve">Role ENUM tartalmazza: user, seller, both, admin értékeket</t>
  </si>
  <si>
    <t xml:space="preserve">INSERT INTO users (username,email,password_hash,full_name,role,is_active) VALUES ('x','x@x.hu','hash','X','superadmin',1)</t>
  </si>
  <si>
    <t xml:space="preserve">MySQL hibát dob: Data truncated for column 'role'
A sor NEM kerül be</t>
  </si>
  <si>
    <t xml:space="preserve">Ismeretlen role értékre hiba keletkezik</t>
  </si>
  <si>
    <t xml:space="preserve">GameCube – Adatbázis Tesztterv Összesítő</t>
  </si>
  <si>
    <t xml:space="preserve">Tesztelő: Tabi Kevin   |   Dátum: 2026.02.20   |   Verzió: 1.0</t>
  </si>
  <si>
    <t xml:space="preserve">Teszt modul</t>
  </si>
  <si>
    <t xml:space="preserve">Összes teszt</t>
  </si>
  <si>
    <t xml:space="preserve">FAIL</t>
  </si>
  <si>
    <t xml:space="preserve">N/A</t>
  </si>
  <si>
    <t xml:space="preserve">Lefedettség %</t>
  </si>
  <si>
    <t xml:space="preserve">DB Struktúra</t>
  </si>
  <si>
    <t xml:space="preserve">100%</t>
  </si>
  <si>
    <t xml:space="preserve">Tárolt Eljárások</t>
  </si>
  <si>
    <t xml:space="preserve">Triggerek / Events</t>
  </si>
  <si>
    <t xml:space="preserve">Adatminőség</t>
  </si>
  <si>
    <t xml:space="preserve">ÖSSZESEN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</si>
</sst>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A6B1A"/>
      <name val="Arial"/>
      <family val="0"/>
      <charset val="1"/>
    </font>
    <font>
      <b val="true"/>
      <sz val="9"/>
      <color rgb="FFE85D04"/>
      <name val="Arial"/>
      <family val="0"/>
      <charset val="1"/>
    </font>
    <font>
      <b val="true"/>
      <sz val="9"/>
      <color rgb="FFF7A8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4D7C0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6B1A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0"/>
      <color rgb="FF7A58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FFFFF"/>
        <bgColor rgb="FFF7F9FC"/>
      </patternFill>
    </fill>
    <fill>
      <patternFill patternType="solid">
        <fgColor rgb="FFD6F0D6"/>
        <bgColor rgb="FFCCFFFF"/>
      </patternFill>
    </fill>
    <fill>
      <patternFill patternType="solid">
        <fgColor rgb="FFF7F9FC"/>
        <bgColor rgb="FFFFFFFF"/>
      </patternFill>
    </fill>
    <fill>
      <patternFill patternType="solid">
        <fgColor rgb="FFFAD4D4"/>
        <bgColor rgb="FFFFF3CC"/>
      </patternFill>
    </fill>
    <fill>
      <patternFill patternType="solid">
        <fgColor rgb="FFFFF3CC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1A6B1A"/>
      <rgbColor rgb="FF000080"/>
      <rgbColor rgb="FF4D7C0F"/>
      <rgbColor rgb="FF800080"/>
      <rgbColor rgb="FF008080"/>
      <rgbColor rgb="FFCCCCCC"/>
      <rgbColor rgb="FF808080"/>
      <rgbColor rgb="FF9999FF"/>
      <rgbColor rgb="FF993366"/>
      <rgbColor rgb="FFFFF3CC"/>
      <rgbColor rgb="FFF7F9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D6"/>
      <rgbColor rgb="FFFFFF99"/>
      <rgbColor rgb="FF99CCFF"/>
      <rgbColor rgb="FFFF99CC"/>
      <rgbColor rgb="FFCC99FF"/>
      <rgbColor rgb="FFFAD4D4"/>
      <rgbColor rgb="FF3366FF"/>
      <rgbColor rgb="FF33CCCC"/>
      <rgbColor rgb="FF99CC00"/>
      <rgbColor rgb="FFFFCC00"/>
      <rgbColor rgb="FFF7A800"/>
      <rgbColor rgb="FFE85D04"/>
      <rgbColor rgb="FF555555"/>
      <rgbColor rgb="FF969696"/>
      <rgbColor rgb="FF003366"/>
      <rgbColor rgb="FF339966"/>
      <rgbColor rgb="FF003300"/>
      <rgbColor rgb="FF333300"/>
      <rgbColor rgb="FF7A58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48"/>
    <col collapsed="false" customWidth="true" hidden="false" outlineLevel="0" max="6" min="5" style="0" width="38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30" hidden="false" customHeight="true" outlineLevel="0" collapsed="false"/>
    <row r="2" customFormat="false" ht="39.75" hidden="false" customHeight="tru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customFormat="false" ht="60" hidden="false" customHeight="tru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18</v>
      </c>
      <c r="H3" s="4" t="s">
        <v>19</v>
      </c>
      <c r="I3" s="2" t="s">
        <v>19</v>
      </c>
      <c r="J3" s="2" t="s">
        <v>20</v>
      </c>
      <c r="K3" s="2" t="s">
        <v>21</v>
      </c>
      <c r="L3" s="2" t="s">
        <v>22</v>
      </c>
    </row>
    <row r="4" customFormat="false" ht="60" hidden="false" customHeight="true" outlineLevel="0" collapsed="false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3" t="s">
        <v>18</v>
      </c>
      <c r="H4" s="4" t="s">
        <v>19</v>
      </c>
      <c r="I4" s="5" t="s">
        <v>19</v>
      </c>
      <c r="J4" s="5" t="s">
        <v>12</v>
      </c>
      <c r="K4" s="5" t="s">
        <v>21</v>
      </c>
      <c r="L4" s="5" t="s">
        <v>22</v>
      </c>
    </row>
    <row r="5" customFormat="false" ht="60" hidden="false" customHeight="tru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28</v>
      </c>
      <c r="G5" s="3" t="s">
        <v>18</v>
      </c>
      <c r="H5" s="4" t="s">
        <v>19</v>
      </c>
      <c r="I5" s="2" t="s">
        <v>19</v>
      </c>
      <c r="J5" s="2" t="s">
        <v>12</v>
      </c>
      <c r="K5" s="2" t="s">
        <v>21</v>
      </c>
      <c r="L5" s="2" t="s">
        <v>22</v>
      </c>
    </row>
    <row r="6" customFormat="false" ht="60" hidden="false" customHeight="true" outlineLevel="0" collapsed="false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3" t="s">
        <v>18</v>
      </c>
      <c r="H6" s="4" t="s">
        <v>19</v>
      </c>
      <c r="I6" s="5" t="s">
        <v>19</v>
      </c>
      <c r="J6" s="5" t="s">
        <v>12</v>
      </c>
      <c r="K6" s="5" t="s">
        <v>21</v>
      </c>
      <c r="L6" s="5" t="s">
        <v>22</v>
      </c>
    </row>
    <row r="7" customFormat="false" ht="60" hidden="false" customHeight="tru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3" t="s">
        <v>18</v>
      </c>
      <c r="H7" s="4" t="s">
        <v>19</v>
      </c>
      <c r="I7" s="2" t="s">
        <v>19</v>
      </c>
      <c r="J7" s="2" t="s">
        <v>12</v>
      </c>
      <c r="K7" s="2" t="s">
        <v>21</v>
      </c>
      <c r="L7" s="2" t="s">
        <v>22</v>
      </c>
    </row>
    <row r="8" customFormat="false" ht="60" hidden="false" customHeight="true" outlineLevel="0" collapsed="false">
      <c r="A8" s="5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3" t="s">
        <v>18</v>
      </c>
      <c r="H8" s="6" t="s">
        <v>52</v>
      </c>
      <c r="I8" s="5" t="s">
        <v>52</v>
      </c>
      <c r="J8" s="5" t="s">
        <v>12</v>
      </c>
      <c r="K8" s="5" t="s">
        <v>21</v>
      </c>
      <c r="L8" s="5" t="s">
        <v>22</v>
      </c>
    </row>
    <row r="9" customFormat="false" ht="60" hidden="false" customHeight="true" outlineLevel="0" collapsed="false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3" t="s">
        <v>18</v>
      </c>
      <c r="H9" s="6" t="s">
        <v>52</v>
      </c>
      <c r="I9" s="2" t="s">
        <v>52</v>
      </c>
      <c r="J9" s="2" t="s">
        <v>12</v>
      </c>
      <c r="K9" s="2" t="s">
        <v>21</v>
      </c>
      <c r="L9" s="2" t="s">
        <v>22</v>
      </c>
    </row>
    <row r="10" customFormat="false" ht="60" hidden="false" customHeight="true" outlineLevel="0" collapsed="false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3" t="s">
        <v>18</v>
      </c>
      <c r="H10" s="4" t="s">
        <v>19</v>
      </c>
      <c r="I10" s="5" t="s">
        <v>19</v>
      </c>
      <c r="J10" s="5" t="s">
        <v>65</v>
      </c>
      <c r="K10" s="5" t="s">
        <v>21</v>
      </c>
      <c r="L10" s="5" t="s">
        <v>22</v>
      </c>
    </row>
    <row r="11" customFormat="false" ht="60" hidden="false" customHeight="true" outlineLevel="0" collapsed="false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3" t="s">
        <v>18</v>
      </c>
      <c r="H11" s="4" t="s">
        <v>19</v>
      </c>
      <c r="I11" s="2" t="s">
        <v>19</v>
      </c>
      <c r="J11" s="2" t="s">
        <v>12</v>
      </c>
      <c r="K11" s="2" t="s">
        <v>21</v>
      </c>
      <c r="L11" s="2" t="s">
        <v>22</v>
      </c>
    </row>
    <row r="12" customFormat="false" ht="60" hidden="false" customHeight="true" outlineLevel="0" collapsed="false">
      <c r="A12" s="5" t="s">
        <v>72</v>
      </c>
      <c r="B12" s="5" t="s">
        <v>73</v>
      </c>
      <c r="C12" s="5" t="s">
        <v>74</v>
      </c>
      <c r="D12" s="5" t="s">
        <v>75</v>
      </c>
      <c r="E12" s="5" t="s">
        <v>76</v>
      </c>
      <c r="F12" s="5" t="s">
        <v>77</v>
      </c>
      <c r="G12" s="3" t="s">
        <v>18</v>
      </c>
      <c r="H12" s="6" t="s">
        <v>52</v>
      </c>
      <c r="I12" s="5" t="s">
        <v>52</v>
      </c>
      <c r="J12" s="5" t="s">
        <v>12</v>
      </c>
      <c r="K12" s="5" t="s">
        <v>21</v>
      </c>
      <c r="L12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6" min="5" style="0" width="36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2" customFormat="false" ht="15" hidden="false" customHeight="false" outlineLevel="0" collapsed="false">
      <c r="A2" s="1" t="s">
        <v>0</v>
      </c>
      <c r="B2" s="1" t="s">
        <v>78</v>
      </c>
      <c r="C2" s="1" t="s">
        <v>2</v>
      </c>
      <c r="D2" s="1" t="s">
        <v>79</v>
      </c>
      <c r="E2" s="1" t="s">
        <v>80</v>
      </c>
      <c r="F2" s="1" t="s">
        <v>81</v>
      </c>
      <c r="G2" s="1" t="s">
        <v>6</v>
      </c>
      <c r="H2" s="1" t="s">
        <v>7</v>
      </c>
      <c r="I2" s="1" t="s">
        <v>8</v>
      </c>
      <c r="J2" s="1" t="s">
        <v>10</v>
      </c>
      <c r="K2" s="1" t="s">
        <v>11</v>
      </c>
    </row>
    <row r="3" customFormat="false" ht="64.5" hidden="false" customHeight="true" outlineLevel="0" collapsed="false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 t="s">
        <v>87</v>
      </c>
      <c r="G3" s="3" t="s">
        <v>18</v>
      </c>
      <c r="H3" s="4" t="s">
        <v>19</v>
      </c>
      <c r="I3" s="2" t="s">
        <v>19</v>
      </c>
      <c r="J3" s="2" t="s">
        <v>21</v>
      </c>
      <c r="K3" s="2" t="s">
        <v>22</v>
      </c>
    </row>
    <row r="4" customFormat="false" ht="64.5" hidden="false" customHeight="true" outlineLevel="0" collapsed="false">
      <c r="A4" s="5" t="s">
        <v>88</v>
      </c>
      <c r="B4" s="5" t="s">
        <v>83</v>
      </c>
      <c r="C4" s="5" t="s">
        <v>89</v>
      </c>
      <c r="D4" s="5" t="s">
        <v>90</v>
      </c>
      <c r="E4" s="5" t="s">
        <v>91</v>
      </c>
      <c r="F4" s="5" t="s">
        <v>92</v>
      </c>
      <c r="G4" s="3" t="s">
        <v>18</v>
      </c>
      <c r="H4" s="4" t="s">
        <v>19</v>
      </c>
      <c r="I4" s="5" t="s">
        <v>19</v>
      </c>
      <c r="J4" s="5" t="s">
        <v>21</v>
      </c>
      <c r="K4" s="5" t="s">
        <v>22</v>
      </c>
    </row>
    <row r="5" customFormat="false" ht="64.5" hidden="false" customHeight="true" outlineLevel="0" collapsed="false">
      <c r="A5" s="2" t="s">
        <v>93</v>
      </c>
      <c r="B5" s="2" t="s">
        <v>94</v>
      </c>
      <c r="C5" s="2" t="s">
        <v>95</v>
      </c>
      <c r="D5" s="2" t="s">
        <v>96</v>
      </c>
      <c r="E5" s="2" t="s">
        <v>97</v>
      </c>
      <c r="F5" s="2" t="s">
        <v>98</v>
      </c>
      <c r="G5" s="3" t="s">
        <v>18</v>
      </c>
      <c r="H5" s="4" t="s">
        <v>19</v>
      </c>
      <c r="I5" s="2" t="s">
        <v>19</v>
      </c>
      <c r="J5" s="2" t="s">
        <v>21</v>
      </c>
      <c r="K5" s="2" t="s">
        <v>22</v>
      </c>
    </row>
    <row r="6" customFormat="false" ht="64.5" hidden="false" customHeight="true" outlineLevel="0" collapsed="false">
      <c r="A6" s="5" t="s">
        <v>99</v>
      </c>
      <c r="B6" s="5" t="s">
        <v>94</v>
      </c>
      <c r="C6" s="5" t="s">
        <v>100</v>
      </c>
      <c r="D6" s="5" t="s">
        <v>101</v>
      </c>
      <c r="E6" s="5" t="s">
        <v>102</v>
      </c>
      <c r="F6" s="5" t="s">
        <v>103</v>
      </c>
      <c r="G6" s="3" t="s">
        <v>18</v>
      </c>
      <c r="H6" s="4" t="s">
        <v>19</v>
      </c>
      <c r="I6" s="5" t="s">
        <v>19</v>
      </c>
      <c r="J6" s="5" t="s">
        <v>21</v>
      </c>
      <c r="K6" s="5" t="s">
        <v>22</v>
      </c>
    </row>
    <row r="7" customFormat="false" ht="64.5" hidden="false" customHeight="true" outlineLevel="0" collapsed="false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3" t="s">
        <v>18</v>
      </c>
      <c r="H7" s="4" t="s">
        <v>19</v>
      </c>
      <c r="I7" s="2" t="s">
        <v>19</v>
      </c>
      <c r="J7" s="2" t="s">
        <v>21</v>
      </c>
      <c r="K7" s="2" t="s">
        <v>22</v>
      </c>
    </row>
    <row r="8" customFormat="false" ht="64.5" hidden="false" customHeight="true" outlineLevel="0" collapsed="false">
      <c r="A8" s="5" t="s">
        <v>110</v>
      </c>
      <c r="B8" s="5" t="s">
        <v>111</v>
      </c>
      <c r="C8" s="5" t="s">
        <v>112</v>
      </c>
      <c r="D8" s="5" t="s">
        <v>113</v>
      </c>
      <c r="E8" s="5" t="s">
        <v>114</v>
      </c>
      <c r="F8" s="5" t="s">
        <v>115</v>
      </c>
      <c r="G8" s="3" t="s">
        <v>18</v>
      </c>
      <c r="H8" s="7" t="s">
        <v>116</v>
      </c>
      <c r="I8" s="5" t="s">
        <v>19</v>
      </c>
      <c r="J8" s="5" t="s">
        <v>21</v>
      </c>
      <c r="K8" s="5" t="s">
        <v>22</v>
      </c>
    </row>
    <row r="9" customFormat="false" ht="64.5" hidden="false" customHeight="true" outlineLevel="0" collapsed="false">
      <c r="A9" s="2" t="s">
        <v>117</v>
      </c>
      <c r="B9" s="2" t="s">
        <v>118</v>
      </c>
      <c r="C9" s="2" t="s">
        <v>119</v>
      </c>
      <c r="D9" s="2" t="s">
        <v>120</v>
      </c>
      <c r="E9" s="2" t="s">
        <v>121</v>
      </c>
      <c r="F9" s="2" t="s">
        <v>122</v>
      </c>
      <c r="G9" s="3" t="s">
        <v>18</v>
      </c>
      <c r="H9" s="7" t="s">
        <v>116</v>
      </c>
      <c r="I9" s="2" t="s">
        <v>19</v>
      </c>
      <c r="J9" s="2" t="s">
        <v>21</v>
      </c>
      <c r="K9" s="2" t="s">
        <v>22</v>
      </c>
    </row>
    <row r="10" customFormat="false" ht="64.5" hidden="false" customHeight="true" outlineLevel="0" collapsed="false">
      <c r="A10" s="5" t="s">
        <v>123</v>
      </c>
      <c r="B10" s="5" t="s">
        <v>124</v>
      </c>
      <c r="C10" s="5" t="s">
        <v>125</v>
      </c>
      <c r="D10" s="5" t="s">
        <v>126</v>
      </c>
      <c r="E10" s="5" t="s">
        <v>127</v>
      </c>
      <c r="F10" s="5" t="s">
        <v>128</v>
      </c>
      <c r="G10" s="3" t="s">
        <v>18</v>
      </c>
      <c r="H10" s="7" t="s">
        <v>116</v>
      </c>
      <c r="I10" s="5" t="s">
        <v>19</v>
      </c>
      <c r="J10" s="5" t="s">
        <v>21</v>
      </c>
      <c r="K10" s="5" t="s">
        <v>22</v>
      </c>
    </row>
    <row r="11" customFormat="false" ht="64.5" hidden="false" customHeight="true" outlineLevel="0" collapsed="false">
      <c r="A11" s="2" t="s">
        <v>129</v>
      </c>
      <c r="B11" s="2" t="s">
        <v>130</v>
      </c>
      <c r="C11" s="2" t="s">
        <v>131</v>
      </c>
      <c r="D11" s="2" t="s">
        <v>132</v>
      </c>
      <c r="E11" s="2" t="s">
        <v>133</v>
      </c>
      <c r="F11" s="2" t="s">
        <v>134</v>
      </c>
      <c r="G11" s="3" t="s">
        <v>18</v>
      </c>
      <c r="H11" s="6" t="s">
        <v>52</v>
      </c>
      <c r="I11" s="2" t="s">
        <v>52</v>
      </c>
      <c r="J11" s="2" t="s">
        <v>21</v>
      </c>
      <c r="K11" s="2" t="s">
        <v>22</v>
      </c>
    </row>
    <row r="12" customFormat="false" ht="64.5" hidden="false" customHeight="true" outlineLevel="0" collapsed="false">
      <c r="A12" s="5" t="s">
        <v>135</v>
      </c>
      <c r="B12" s="5" t="s">
        <v>136</v>
      </c>
      <c r="C12" s="5" t="s">
        <v>137</v>
      </c>
      <c r="D12" s="5" t="s">
        <v>138</v>
      </c>
      <c r="E12" s="5" t="s">
        <v>139</v>
      </c>
      <c r="F12" s="5" t="s">
        <v>140</v>
      </c>
      <c r="G12" s="3" t="s">
        <v>18</v>
      </c>
      <c r="H12" s="4" t="s">
        <v>19</v>
      </c>
      <c r="I12" s="5" t="s">
        <v>19</v>
      </c>
      <c r="J12" s="5" t="s">
        <v>21</v>
      </c>
      <c r="K12" s="5" t="s">
        <v>22</v>
      </c>
    </row>
    <row r="13" customFormat="false" ht="64.5" hidden="false" customHeight="true" outlineLevel="0" collapsed="false">
      <c r="A13" s="2" t="s">
        <v>141</v>
      </c>
      <c r="B13" s="2" t="s">
        <v>142</v>
      </c>
      <c r="C13" s="2" t="s">
        <v>143</v>
      </c>
      <c r="D13" s="2" t="s">
        <v>144</v>
      </c>
      <c r="E13" s="2" t="s">
        <v>145</v>
      </c>
      <c r="F13" s="2" t="s">
        <v>146</v>
      </c>
      <c r="G13" s="3" t="s">
        <v>18</v>
      </c>
      <c r="H13" s="4" t="s">
        <v>19</v>
      </c>
      <c r="I13" s="2" t="s">
        <v>19</v>
      </c>
      <c r="J13" s="2" t="s">
        <v>21</v>
      </c>
      <c r="K13" s="2" t="s">
        <v>22</v>
      </c>
    </row>
    <row r="14" customFormat="false" ht="64.5" hidden="false" customHeight="true" outlineLevel="0" collapsed="false">
      <c r="A14" s="5" t="s">
        <v>147</v>
      </c>
      <c r="B14" s="5" t="s">
        <v>148</v>
      </c>
      <c r="C14" s="5" t="s">
        <v>149</v>
      </c>
      <c r="D14" s="5" t="s">
        <v>150</v>
      </c>
      <c r="E14" s="5" t="s">
        <v>151</v>
      </c>
      <c r="F14" s="5" t="s">
        <v>152</v>
      </c>
      <c r="G14" s="3" t="s">
        <v>18</v>
      </c>
      <c r="H14" s="8" t="s">
        <v>153</v>
      </c>
      <c r="I14" s="5" t="s">
        <v>153</v>
      </c>
      <c r="J14" s="5" t="s">
        <v>21</v>
      </c>
      <c r="K14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7" min="6" style="0" width="36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2" customFormat="false" ht="15" hidden="false" customHeight="false" outlineLevel="0" collapsed="false">
      <c r="A2" s="1" t="s">
        <v>0</v>
      </c>
      <c r="B2" s="1" t="s">
        <v>154</v>
      </c>
      <c r="C2" s="1" t="s">
        <v>155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10</v>
      </c>
      <c r="K2" s="1" t="s">
        <v>11</v>
      </c>
    </row>
    <row r="3" customFormat="false" ht="69.75" hidden="false" customHeight="true" outlineLevel="0" collapsed="false">
      <c r="A3" s="2" t="s">
        <v>156</v>
      </c>
      <c r="B3" s="2" t="s">
        <v>157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162</v>
      </c>
      <c r="H3" s="3" t="s">
        <v>18</v>
      </c>
      <c r="I3" s="4" t="s">
        <v>19</v>
      </c>
      <c r="J3" s="2" t="s">
        <v>21</v>
      </c>
      <c r="K3" s="2" t="s">
        <v>22</v>
      </c>
    </row>
    <row r="4" customFormat="false" ht="69.75" hidden="false" customHeight="true" outlineLevel="0" collapsed="false">
      <c r="A4" s="5" t="s">
        <v>163</v>
      </c>
      <c r="B4" s="5" t="s">
        <v>164</v>
      </c>
      <c r="C4" s="5" t="s">
        <v>158</v>
      </c>
      <c r="D4" s="5" t="s">
        <v>165</v>
      </c>
      <c r="E4" s="5" t="s">
        <v>166</v>
      </c>
      <c r="F4" s="5" t="s">
        <v>167</v>
      </c>
      <c r="G4" s="5" t="s">
        <v>168</v>
      </c>
      <c r="H4" s="3" t="s">
        <v>18</v>
      </c>
      <c r="I4" s="4" t="s">
        <v>19</v>
      </c>
      <c r="J4" s="5" t="s">
        <v>21</v>
      </c>
      <c r="K4" s="5" t="s">
        <v>22</v>
      </c>
    </row>
    <row r="5" customFormat="false" ht="69.75" hidden="false" customHeight="true" outlineLevel="0" collapsed="false">
      <c r="A5" s="2" t="s">
        <v>169</v>
      </c>
      <c r="B5" s="2" t="s">
        <v>170</v>
      </c>
      <c r="C5" s="2" t="s">
        <v>158</v>
      </c>
      <c r="D5" s="2" t="s">
        <v>171</v>
      </c>
      <c r="E5" s="2" t="s">
        <v>172</v>
      </c>
      <c r="F5" s="2" t="s">
        <v>173</v>
      </c>
      <c r="G5" s="2" t="s">
        <v>174</v>
      </c>
      <c r="H5" s="3" t="s">
        <v>18</v>
      </c>
      <c r="I5" s="4" t="s">
        <v>19</v>
      </c>
      <c r="J5" s="2" t="s">
        <v>21</v>
      </c>
      <c r="K5" s="2" t="s">
        <v>22</v>
      </c>
    </row>
    <row r="6" customFormat="false" ht="69.75" hidden="false" customHeight="true" outlineLevel="0" collapsed="false">
      <c r="A6" s="5" t="s">
        <v>175</v>
      </c>
      <c r="B6" s="5" t="s">
        <v>176</v>
      </c>
      <c r="C6" s="5" t="s">
        <v>177</v>
      </c>
      <c r="D6" s="5" t="s">
        <v>178</v>
      </c>
      <c r="E6" s="5" t="s">
        <v>179</v>
      </c>
      <c r="F6" s="5" t="s">
        <v>180</v>
      </c>
      <c r="G6" s="5" t="s">
        <v>181</v>
      </c>
      <c r="H6" s="3" t="s">
        <v>18</v>
      </c>
      <c r="I6" s="4" t="s">
        <v>19</v>
      </c>
      <c r="J6" s="5" t="s">
        <v>21</v>
      </c>
      <c r="K6" s="5" t="s">
        <v>22</v>
      </c>
    </row>
    <row r="7" customFormat="false" ht="69.75" hidden="false" customHeight="true" outlineLevel="0" collapsed="false">
      <c r="A7" s="2" t="s">
        <v>182</v>
      </c>
      <c r="B7" s="2" t="s">
        <v>183</v>
      </c>
      <c r="C7" s="2" t="s">
        <v>177</v>
      </c>
      <c r="D7" s="2" t="s">
        <v>184</v>
      </c>
      <c r="E7" s="2" t="s">
        <v>185</v>
      </c>
      <c r="F7" s="2" t="s">
        <v>186</v>
      </c>
      <c r="G7" s="2" t="s">
        <v>187</v>
      </c>
      <c r="H7" s="3" t="s">
        <v>18</v>
      </c>
      <c r="I7" s="6" t="s">
        <v>52</v>
      </c>
      <c r="J7" s="2" t="s">
        <v>21</v>
      </c>
      <c r="K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6" min="5" style="0" width="3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</cols>
  <sheetData>
    <row r="2" customFormat="false" ht="15" hidden="false" customHeight="false" outlineLevel="0" collapsed="false">
      <c r="A2" s="1" t="s">
        <v>0</v>
      </c>
      <c r="B2" s="1" t="s">
        <v>188</v>
      </c>
      <c r="C2" s="1" t="s">
        <v>2</v>
      </c>
      <c r="D2" s="1" t="s">
        <v>189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</v>
      </c>
      <c r="J2" s="1" t="s">
        <v>11</v>
      </c>
    </row>
    <row r="3" customFormat="false" ht="64.5" hidden="false" customHeight="true" outlineLevel="0" collapsed="false">
      <c r="A3" s="2" t="s">
        <v>190</v>
      </c>
      <c r="B3" s="2" t="s">
        <v>191</v>
      </c>
      <c r="C3" s="2" t="s">
        <v>192</v>
      </c>
      <c r="D3" s="2" t="s">
        <v>193</v>
      </c>
      <c r="E3" s="2" t="s">
        <v>194</v>
      </c>
      <c r="F3" s="2" t="s">
        <v>195</v>
      </c>
      <c r="G3" s="3" t="s">
        <v>18</v>
      </c>
      <c r="H3" s="6" t="s">
        <v>52</v>
      </c>
      <c r="I3" s="2" t="s">
        <v>21</v>
      </c>
      <c r="J3" s="2" t="s">
        <v>22</v>
      </c>
    </row>
    <row r="4" customFormat="false" ht="64.5" hidden="false" customHeight="true" outlineLevel="0" collapsed="false">
      <c r="A4" s="5" t="s">
        <v>196</v>
      </c>
      <c r="B4" s="5" t="s">
        <v>191</v>
      </c>
      <c r="C4" s="5" t="s">
        <v>197</v>
      </c>
      <c r="D4" s="5" t="s">
        <v>198</v>
      </c>
      <c r="E4" s="5" t="s">
        <v>199</v>
      </c>
      <c r="F4" s="5" t="s">
        <v>200</v>
      </c>
      <c r="G4" s="3" t="s">
        <v>18</v>
      </c>
      <c r="H4" s="6" t="s">
        <v>52</v>
      </c>
      <c r="I4" s="5" t="s">
        <v>21</v>
      </c>
      <c r="J4" s="5" t="s">
        <v>22</v>
      </c>
    </row>
    <row r="5" customFormat="false" ht="64.5" hidden="false" customHeight="true" outlineLevel="0" collapsed="false">
      <c r="A5" s="2" t="s">
        <v>201</v>
      </c>
      <c r="B5" s="2" t="s">
        <v>202</v>
      </c>
      <c r="C5" s="2" t="s">
        <v>203</v>
      </c>
      <c r="D5" s="2" t="s">
        <v>204</v>
      </c>
      <c r="E5" s="2" t="s">
        <v>205</v>
      </c>
      <c r="F5" s="2" t="s">
        <v>206</v>
      </c>
      <c r="G5" s="3" t="s">
        <v>18</v>
      </c>
      <c r="H5" s="4" t="s">
        <v>19</v>
      </c>
      <c r="I5" s="2" t="s">
        <v>21</v>
      </c>
      <c r="J5" s="2" t="s">
        <v>22</v>
      </c>
    </row>
    <row r="6" customFormat="false" ht="64.5" hidden="false" customHeight="true" outlineLevel="0" collapsed="false">
      <c r="A6" s="5" t="s">
        <v>207</v>
      </c>
      <c r="B6" s="5" t="s">
        <v>208</v>
      </c>
      <c r="C6" s="5" t="s">
        <v>209</v>
      </c>
      <c r="D6" s="5" t="s">
        <v>210</v>
      </c>
      <c r="E6" s="5" t="s">
        <v>211</v>
      </c>
      <c r="F6" s="5" t="s">
        <v>212</v>
      </c>
      <c r="G6" s="3" t="s">
        <v>18</v>
      </c>
      <c r="H6" s="8" t="s">
        <v>153</v>
      </c>
      <c r="I6" s="5" t="s">
        <v>21</v>
      </c>
      <c r="J6" s="5" t="s">
        <v>22</v>
      </c>
    </row>
    <row r="7" customFormat="false" ht="64.5" hidden="false" customHeight="true" outlineLevel="0" collapsed="false">
      <c r="A7" s="2" t="s">
        <v>213</v>
      </c>
      <c r="B7" s="2" t="s">
        <v>214</v>
      </c>
      <c r="C7" s="2" t="s">
        <v>215</v>
      </c>
      <c r="D7" s="2" t="s">
        <v>216</v>
      </c>
      <c r="E7" s="2" t="s">
        <v>217</v>
      </c>
      <c r="F7" s="2" t="s">
        <v>218</v>
      </c>
      <c r="G7" s="3" t="s">
        <v>18</v>
      </c>
      <c r="H7" s="8" t="s">
        <v>153</v>
      </c>
      <c r="I7" s="2" t="s">
        <v>21</v>
      </c>
      <c r="J7" s="2" t="s">
        <v>22</v>
      </c>
    </row>
    <row r="8" customFormat="false" ht="64.5" hidden="false" customHeight="true" outlineLevel="0" collapsed="false">
      <c r="A8" s="5" t="s">
        <v>219</v>
      </c>
      <c r="B8" s="5" t="s">
        <v>220</v>
      </c>
      <c r="C8" s="5" t="s">
        <v>221</v>
      </c>
      <c r="D8" s="5" t="s">
        <v>222</v>
      </c>
      <c r="E8" s="5" t="s">
        <v>223</v>
      </c>
      <c r="F8" s="5" t="s">
        <v>224</v>
      </c>
      <c r="G8" s="3" t="s">
        <v>18</v>
      </c>
      <c r="H8" s="4" t="s">
        <v>19</v>
      </c>
      <c r="I8" s="5" t="s">
        <v>21</v>
      </c>
      <c r="J8" s="5" t="s">
        <v>22</v>
      </c>
    </row>
    <row r="9" customFormat="false" ht="64.5" hidden="false" customHeight="true" outlineLevel="0" collapsed="false">
      <c r="A9" s="2" t="s">
        <v>225</v>
      </c>
      <c r="B9" s="2" t="s">
        <v>226</v>
      </c>
      <c r="C9" s="2" t="s">
        <v>227</v>
      </c>
      <c r="D9" s="2" t="s">
        <v>228</v>
      </c>
      <c r="E9" s="2" t="s">
        <v>229</v>
      </c>
      <c r="F9" s="2" t="s">
        <v>230</v>
      </c>
      <c r="G9" s="3" t="s">
        <v>18</v>
      </c>
      <c r="H9" s="6" t="s">
        <v>52</v>
      </c>
      <c r="I9" s="2" t="s">
        <v>21</v>
      </c>
      <c r="J9" s="2" t="s">
        <v>22</v>
      </c>
    </row>
    <row r="10" customFormat="false" ht="64.5" hidden="false" customHeight="true" outlineLevel="0" collapsed="false">
      <c r="A10" s="5" t="s">
        <v>231</v>
      </c>
      <c r="B10" s="5" t="s">
        <v>232</v>
      </c>
      <c r="C10" s="5" t="s">
        <v>233</v>
      </c>
      <c r="D10" s="5" t="s">
        <v>234</v>
      </c>
      <c r="E10" s="5" t="s">
        <v>235</v>
      </c>
      <c r="F10" s="5" t="s">
        <v>236</v>
      </c>
      <c r="G10" s="3" t="s">
        <v>18</v>
      </c>
      <c r="H10" s="4" t="s">
        <v>19</v>
      </c>
      <c r="I10" s="5" t="s">
        <v>21</v>
      </c>
      <c r="J10" s="5" t="s">
        <v>22</v>
      </c>
    </row>
    <row r="11" customFormat="false" ht="64.5" hidden="false" customHeight="true" outlineLevel="0" collapsed="false">
      <c r="A11" s="2" t="s">
        <v>237</v>
      </c>
      <c r="B11" s="2" t="s">
        <v>238</v>
      </c>
      <c r="C11" s="2" t="s">
        <v>239</v>
      </c>
      <c r="D11" s="2" t="s">
        <v>240</v>
      </c>
      <c r="E11" s="2" t="s">
        <v>241</v>
      </c>
      <c r="F11" s="2" t="s">
        <v>242</v>
      </c>
      <c r="G11" s="3" t="s">
        <v>18</v>
      </c>
      <c r="H11" s="4" t="s">
        <v>19</v>
      </c>
      <c r="I11" s="2" t="s">
        <v>21</v>
      </c>
      <c r="J11" s="2" t="s">
        <v>22</v>
      </c>
    </row>
    <row r="12" customFormat="false" ht="64.5" hidden="false" customHeight="true" outlineLevel="0" collapsed="false">
      <c r="A12" s="5" t="s">
        <v>243</v>
      </c>
      <c r="B12" s="5" t="s">
        <v>244</v>
      </c>
      <c r="C12" s="5" t="s">
        <v>245</v>
      </c>
      <c r="D12" s="5" t="s">
        <v>246</v>
      </c>
      <c r="E12" s="5" t="s">
        <v>247</v>
      </c>
      <c r="F12" s="5" t="s">
        <v>248</v>
      </c>
      <c r="G12" s="3" t="s">
        <v>18</v>
      </c>
      <c r="H12" s="4" t="s">
        <v>19</v>
      </c>
      <c r="I12" s="5" t="s">
        <v>21</v>
      </c>
      <c r="J12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6" min="6" style="0" width="16"/>
  </cols>
  <sheetData>
    <row r="1" customFormat="false" ht="36" hidden="false" customHeight="true" outlineLevel="0" collapsed="false">
      <c r="A1" s="9" t="s">
        <v>249</v>
      </c>
      <c r="B1" s="9"/>
      <c r="C1" s="9"/>
      <c r="D1" s="9"/>
      <c r="E1" s="9"/>
      <c r="F1" s="9"/>
    </row>
    <row r="2" customFormat="false" ht="19.5" hidden="false" customHeight="true" outlineLevel="0" collapsed="false">
      <c r="A2" s="10" t="s">
        <v>250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1" t="s">
        <v>251</v>
      </c>
      <c r="B4" s="1" t="s">
        <v>252</v>
      </c>
      <c r="C4" s="1" t="s">
        <v>18</v>
      </c>
      <c r="D4" s="1" t="s">
        <v>253</v>
      </c>
      <c r="E4" s="1" t="s">
        <v>254</v>
      </c>
      <c r="F4" s="1" t="s">
        <v>255</v>
      </c>
    </row>
    <row r="5" customFormat="false" ht="24" hidden="false" customHeight="true" outlineLevel="0" collapsed="false">
      <c r="A5" s="11" t="s">
        <v>256</v>
      </c>
      <c r="B5" s="12" t="n">
        <v>10</v>
      </c>
      <c r="C5" s="13" t="n">
        <v>10</v>
      </c>
      <c r="D5" s="12" t="n">
        <v>0</v>
      </c>
      <c r="E5" s="14" t="n">
        <v>0</v>
      </c>
      <c r="F5" s="13" t="s">
        <v>257</v>
      </c>
    </row>
    <row r="6" customFormat="false" ht="24" hidden="false" customHeight="true" outlineLevel="0" collapsed="false">
      <c r="A6" s="15" t="s">
        <v>258</v>
      </c>
      <c r="B6" s="16" t="n">
        <v>12</v>
      </c>
      <c r="C6" s="13" t="n">
        <v>12</v>
      </c>
      <c r="D6" s="16" t="n">
        <v>0</v>
      </c>
      <c r="E6" s="17" t="n">
        <v>0</v>
      </c>
      <c r="F6" s="13" t="s">
        <v>257</v>
      </c>
    </row>
    <row r="7" customFormat="false" ht="24" hidden="false" customHeight="true" outlineLevel="0" collapsed="false">
      <c r="A7" s="11" t="s">
        <v>259</v>
      </c>
      <c r="B7" s="12" t="n">
        <v>5</v>
      </c>
      <c r="C7" s="13" t="n">
        <v>5</v>
      </c>
      <c r="D7" s="12" t="n">
        <v>0</v>
      </c>
      <c r="E7" s="14" t="n">
        <v>0</v>
      </c>
      <c r="F7" s="13" t="s">
        <v>257</v>
      </c>
    </row>
    <row r="8" customFormat="false" ht="24" hidden="false" customHeight="true" outlineLevel="0" collapsed="false">
      <c r="A8" s="15" t="s">
        <v>260</v>
      </c>
      <c r="B8" s="16" t="n">
        <v>10</v>
      </c>
      <c r="C8" s="13" t="n">
        <v>10</v>
      </c>
      <c r="D8" s="16" t="n">
        <v>0</v>
      </c>
      <c r="E8" s="17" t="n">
        <v>0</v>
      </c>
      <c r="F8" s="13" t="s">
        <v>257</v>
      </c>
    </row>
    <row r="9" customFormat="false" ht="25.5" hidden="false" customHeight="true" outlineLevel="0" collapsed="false">
      <c r="A9" s="18" t="s">
        <v>261</v>
      </c>
      <c r="B9" s="1" t="n">
        <f aca="false">SUM(B5:B8)</f>
        <v>37</v>
      </c>
      <c r="C9" s="13" t="n">
        <f aca="false">SUM(C5:C8)</f>
        <v>37</v>
      </c>
      <c r="D9" s="19" t="n">
        <f aca="false">SUM(D5:D8)</f>
        <v>0</v>
      </c>
      <c r="E9" s="20" t="n">
        <f aca="false">SUM(E5:E8)</f>
        <v>0</v>
      </c>
      <c r="F9" s="13" t="str">
        <f aca="false">TEXT(C9/B9,"0%")</f>
        <v>100%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2026-04-20T17:25:00Z</dcterms:created>
  <dc:creator>openpyxl</dc:creator>
  <dc:description/>
  <dc:language>en-US</dc:language>
  <cp:lastModifiedBy/>
  <dcterms:modified xsi:type="dcterms:W3CDTF">2026-04-20T17:25:00Z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